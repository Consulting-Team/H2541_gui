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Print_Area" localSheetId="0">Report!$A$1:$G$112</definedName>
  </definedNames>
  <calcPr calcId="124519" fullCalcOnLoad="1"/>
</workbook>
</file>

<file path=xl/sharedStrings.xml><?xml version="1.0" encoding="utf-8"?>
<sst xmlns="http://schemas.openxmlformats.org/spreadsheetml/2006/main" count="183" uniqueCount="121">
  <si>
    <t>Voyage Report</t>
  </si>
  <si>
    <t>Ship Name</t>
  </si>
  <si>
    <t>VENTURE IBERIA</t>
  </si>
  <si>
    <t>IMO</t>
  </si>
  <si>
    <t>9970571</t>
  </si>
  <si>
    <t>Capacity</t>
  </si>
  <si>
    <t>CBM</t>
  </si>
  <si>
    <t>Departure Port</t>
  </si>
  <si>
    <t>Port A</t>
  </si>
  <si>
    <t>Arrival Port</t>
  </si>
  <si>
    <t>Port B</t>
  </si>
  <si>
    <t>Date &amp; Time Departure</t>
  </si>
  <si>
    <t>GMT+0</t>
  </si>
  <si>
    <t>2025-10-24 07:00:00</t>
  </si>
  <si>
    <t>Date &amp; Time Arrival</t>
  </si>
  <si>
    <t>2025-10-24 09:00:00</t>
  </si>
  <si>
    <t>Total Hours Voyage</t>
  </si>
  <si>
    <t>hours</t>
  </si>
  <si>
    <t>Total Days Voyage</t>
  </si>
  <si>
    <t>days</t>
  </si>
  <si>
    <t>Draft Fwd</t>
  </si>
  <si>
    <t>m</t>
  </si>
  <si>
    <t>Draft Aft</t>
  </si>
  <si>
    <t>Mean Draft</t>
  </si>
  <si>
    <t>Total Hours Wind &lt; 4 Beaufort</t>
  </si>
  <si>
    <t>Total Hours Wind 4 Beaufort</t>
  </si>
  <si>
    <t>Total Hours Wind 5 - 6 Beaufort</t>
  </si>
  <si>
    <t>Total Hours Wind &gt; 6 Beaufort</t>
  </si>
  <si>
    <t>Total Distance (GPS)</t>
  </si>
  <si>
    <t>NM</t>
  </si>
  <si>
    <t>Total Distance (Log)</t>
  </si>
  <si>
    <t>Average Speed (GPS)</t>
  </si>
  <si>
    <t>knots</t>
  </si>
  <si>
    <t>Average Speed (Log)</t>
  </si>
  <si>
    <t>Average Slip (GPS)</t>
  </si>
  <si>
    <t>%</t>
  </si>
  <si>
    <t>NaN</t>
  </si>
  <si>
    <t>Average Slip (Log)</t>
  </si>
  <si>
    <t>LNG Volume Departure</t>
  </si>
  <si>
    <t>m3</t>
  </si>
  <si>
    <t>LNG Mass Departure</t>
  </si>
  <si>
    <t>tons</t>
  </si>
  <si>
    <t>LNG Volume Arrival</t>
  </si>
  <si>
    <t>LNG Mass Arrival</t>
  </si>
  <si>
    <t>LNG Temperature Departure</t>
  </si>
  <si>
    <t>°C</t>
  </si>
  <si>
    <t>LNG Temperature Arrival</t>
  </si>
  <si>
    <t>Vapor Header Pressure Departure</t>
  </si>
  <si>
    <t>mbarA</t>
  </si>
  <si>
    <t>Vapor Header Pressure Arrival</t>
  </si>
  <si>
    <t>LNG Density</t>
  </si>
  <si>
    <t>kg/m3</t>
  </si>
  <si>
    <t>Average BOG Density</t>
  </si>
  <si>
    <t>Average BOG LHV</t>
  </si>
  <si>
    <t>kJ/kg</t>
  </si>
  <si>
    <t>Main Engines</t>
  </si>
  <si>
    <t>ME1</t>
  </si>
  <si>
    <t>Common / Total</t>
  </si>
  <si>
    <t>ME2</t>
  </si>
  <si>
    <t>Main Engines Average Shaft RPM</t>
  </si>
  <si>
    <t>rpm</t>
  </si>
  <si>
    <t>Main Engines Average Shaft Power</t>
  </si>
  <si>
    <t>kW</t>
  </si>
  <si>
    <t>Shaft Generator Average Output Power</t>
  </si>
  <si>
    <t>Main Engines Average Output Power</t>
  </si>
  <si>
    <t>Main Engines LSMGO Consumption</t>
  </si>
  <si>
    <t>Main Engines BOG Consumption</t>
  </si>
  <si>
    <t>Propeller Shaft Efficiency</t>
  </si>
  <si>
    <t>Shaft Generator Efficiency</t>
  </si>
  <si>
    <t>Propulsion</t>
  </si>
  <si>
    <t>Total LSMGO Consumption Propulsion</t>
  </si>
  <si>
    <t>Total Fuel Gas Consumption Propulsion</t>
  </si>
  <si>
    <t>LHV Corrected Fuel Gas Consumption Propulsion</t>
  </si>
  <si>
    <t>Total FOeq Propulsion</t>
  </si>
  <si>
    <t>Power Generation</t>
  </si>
  <si>
    <t>GE Alternators Average Output Power</t>
  </si>
  <si>
    <t>Efficiency Alternator</t>
  </si>
  <si>
    <t>Generator Engine Average Engines Output Power</t>
  </si>
  <si>
    <t>Generators Pilot Oil (in - out)</t>
  </si>
  <si>
    <t>Generators LSMGO In</t>
  </si>
  <si>
    <t>Generators LSMGO Consumption</t>
  </si>
  <si>
    <t>Generators Fuel Gas Consumption</t>
  </si>
  <si>
    <t>Shaft Generators LSMGO Consumption</t>
  </si>
  <si>
    <t>Shaft Generators Fuel Gas Consumption</t>
  </si>
  <si>
    <t>Total LSMGO Consumption Power Generation</t>
  </si>
  <si>
    <t>Total Fuel Gas Consumption Power Generation</t>
  </si>
  <si>
    <t>LHV Corrected Fuel Gas Consumption Power Generation</t>
  </si>
  <si>
    <t>Total FOeq Generation</t>
  </si>
  <si>
    <t>Steam Generation</t>
  </si>
  <si>
    <t>Total LSMGO Consumption</t>
  </si>
  <si>
    <t>BOG Management</t>
  </si>
  <si>
    <t>Total Flow through GCU</t>
  </si>
  <si>
    <t>Total Flow through Vent Mast</t>
  </si>
  <si>
    <t>Total Flow Reliquefied</t>
  </si>
  <si>
    <t>Total Flow Forcing Vaporizer Outlet</t>
  </si>
  <si>
    <t>BOR Estimate - Laden Condition Only</t>
  </si>
  <si>
    <t>Total BOG Flow</t>
  </si>
  <si>
    <t>Corr. ∆ Temp. Cargo Tanks (LNG) Departure - Arrival</t>
  </si>
  <si>
    <t>Mass BOR - (Daily Basis)</t>
  </si>
  <si>
    <t>tons/day</t>
  </si>
  <si>
    <t>Volume BOR - (Daily Basis)</t>
  </si>
  <si>
    <t>m3/day</t>
  </si>
  <si>
    <t>Daily BOR</t>
  </si>
  <si>
    <t>Performances</t>
  </si>
  <si>
    <t>Average Propulsion Power</t>
  </si>
  <si>
    <t>Average FOeq Specific Consumption for Propulsion</t>
  </si>
  <si>
    <t>g/kWh</t>
  </si>
  <si>
    <t xml:space="preserve">Average Power for Electric Power Generation </t>
  </si>
  <si>
    <t>Average FOeq Specific Consumption for Power Gen.</t>
  </si>
  <si>
    <t>Emissions</t>
  </si>
  <si>
    <t>Total CO2 Propulsion</t>
  </si>
  <si>
    <t>Total CH4 Propulsion</t>
  </si>
  <si>
    <t>-</t>
  </si>
  <si>
    <t>Total NOx Propulsion</t>
  </si>
  <si>
    <t>Total CO2 Power Gneration</t>
  </si>
  <si>
    <t>Total CH4 Power Gneration</t>
  </si>
  <si>
    <t>Total NOx Generation</t>
  </si>
  <si>
    <t>Total CO2 Boiler</t>
  </si>
  <si>
    <t>Total CO2 GCU</t>
  </si>
  <si>
    <t>Total CH4 Vent Mast</t>
  </si>
  <si>
    <t>2025-10-28 03:59:19</t>
  </si>
</sst>
</file>

<file path=xl/styles.xml><?xml version="1.0" encoding="utf-8"?>
<styleSheet xmlns="http://schemas.openxmlformats.org/spreadsheetml/2006/main">
  <numFmts count="4">
    <numFmt numFmtId="164" formatCode="###,##0"/>
    <numFmt numFmtId="165" formatCode="#0.00"/>
    <numFmt numFmtId="166" formatCode="0.0%"/>
    <numFmt numFmtId="167" formatCode="#0.0000"/>
  </numFmts>
  <fonts count="4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952500</xdr:colOff>
      <xdr:row>106</xdr:row>
      <xdr:rowOff>0</xdr:rowOff>
    </xdr:from>
    <xdr:to>
      <xdr:col>5</xdr:col>
      <xdr:colOff>650407</xdr:colOff>
      <xdr:row>108</xdr:row>
      <xdr:rowOff>119921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0" y="33508950"/>
          <a:ext cx="8822857" cy="74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00"/>
  <sheetViews>
    <sheetView tabSelected="1" view="pageBreakPreview" zoomScale="85" zoomScaleSheetLayoutView="85" workbookViewId="0"/>
  </sheetViews>
  <sheetFormatPr defaultRowHeight="15"/>
  <cols>
    <col min="1" max="1" width="5.7109375" customWidth="1"/>
    <col min="2" max="2" width="59.7109375" customWidth="1"/>
    <col min="3" max="6" width="25.7109375" customWidth="1"/>
    <col min="7" max="100" width="5.7109375" customWidth="1"/>
  </cols>
  <sheetData>
    <row r="1" spans="2:6" ht="40" customHeight="1">
      <c r="B1" s="2" t="s">
        <v>0</v>
      </c>
      <c r="C1" s="2"/>
      <c r="D1" s="2"/>
      <c r="E1" s="2"/>
      <c r="F1" s="2"/>
    </row>
    <row r="2" spans="2:6" ht="25" customHeight="1">
      <c r="B2" s="3" t="s">
        <v>1</v>
      </c>
      <c r="C2" s="4"/>
      <c r="D2" s="4" t="s">
        <v>2</v>
      </c>
      <c r="E2" s="4"/>
      <c r="F2" s="4"/>
    </row>
    <row r="3" spans="2:6" ht="25" customHeight="1">
      <c r="B3" s="3" t="s">
        <v>3</v>
      </c>
      <c r="C3" s="4"/>
      <c r="D3" s="4" t="s">
        <v>4</v>
      </c>
      <c r="E3" s="4"/>
      <c r="F3" s="4"/>
    </row>
    <row r="4" spans="2:6" ht="25" customHeight="1">
      <c r="B4" s="3" t="s">
        <v>5</v>
      </c>
      <c r="C4" s="4" t="s">
        <v>6</v>
      </c>
      <c r="D4" s="5">
        <v>200000</v>
      </c>
      <c r="E4" s="5"/>
      <c r="F4" s="5"/>
    </row>
    <row r="5" spans="2:6" ht="25" customHeight="1">
      <c r="B5" s="3"/>
      <c r="C5" s="4"/>
      <c r="D5" s="4"/>
      <c r="E5" s="4"/>
      <c r="F5" s="4"/>
    </row>
    <row r="6" spans="2:6" ht="25" customHeight="1">
      <c r="B6" s="3" t="s">
        <v>7</v>
      </c>
      <c r="C6" s="4"/>
      <c r="D6" s="4" t="s">
        <v>8</v>
      </c>
      <c r="E6" s="4"/>
      <c r="F6" s="4"/>
    </row>
    <row r="7" spans="2:6" ht="25" customHeight="1">
      <c r="B7" s="3" t="s">
        <v>9</v>
      </c>
      <c r="C7" s="4"/>
      <c r="D7" s="4" t="s">
        <v>10</v>
      </c>
      <c r="E7" s="4"/>
      <c r="F7" s="4"/>
    </row>
    <row r="8" spans="2:6" ht="25" customHeight="1">
      <c r="B8" s="3" t="s">
        <v>11</v>
      </c>
      <c r="C8" s="4" t="s">
        <v>12</v>
      </c>
      <c r="D8" s="4" t="s">
        <v>13</v>
      </c>
      <c r="E8" s="4"/>
      <c r="F8" s="4"/>
    </row>
    <row r="9" spans="2:6" ht="25" customHeight="1">
      <c r="B9" s="3" t="s">
        <v>14</v>
      </c>
      <c r="C9" s="4" t="s">
        <v>12</v>
      </c>
      <c r="D9" s="4" t="s">
        <v>15</v>
      </c>
      <c r="E9" s="4"/>
      <c r="F9" s="4"/>
    </row>
    <row r="10" spans="2:6" ht="25" customHeight="1">
      <c r="B10" s="3" t="s">
        <v>16</v>
      </c>
      <c r="C10" s="4" t="s">
        <v>17</v>
      </c>
      <c r="D10" s="6">
        <v>2</v>
      </c>
      <c r="E10" s="6"/>
      <c r="F10" s="6"/>
    </row>
    <row r="11" spans="2:6" ht="25" customHeight="1">
      <c r="B11" s="3" t="s">
        <v>18</v>
      </c>
      <c r="C11" s="4" t="s">
        <v>19</v>
      </c>
      <c r="D11" s="6">
        <v>0.08333333333333333</v>
      </c>
      <c r="E11" s="6"/>
      <c r="F11" s="6"/>
    </row>
    <row r="12" spans="2:6" ht="25" customHeight="1">
      <c r="B12" s="3" t="s">
        <v>20</v>
      </c>
      <c r="C12" s="4" t="s">
        <v>21</v>
      </c>
      <c r="D12" s="6">
        <v>8.87756061553955</v>
      </c>
      <c r="E12" s="6"/>
      <c r="F12" s="6"/>
    </row>
    <row r="13" spans="2:6" ht="25" customHeight="1">
      <c r="B13" s="3" t="s">
        <v>22</v>
      </c>
      <c r="C13" s="4" t="s">
        <v>21</v>
      </c>
      <c r="D13" s="6">
        <v>9.025575637817383</v>
      </c>
      <c r="E13" s="6"/>
      <c r="F13" s="6"/>
    </row>
    <row r="14" spans="2:6" ht="25" customHeight="1">
      <c r="B14" s="3" t="s">
        <v>23</v>
      </c>
      <c r="C14" s="4" t="s">
        <v>21</v>
      </c>
      <c r="D14" s="6" t="str">
        <f>0.5 * (D12 + D13)</f>
        <v/>
      </c>
      <c r="E14" s="6"/>
      <c r="F14" s="6"/>
    </row>
    <row r="15" spans="2:6" ht="25" customHeight="1">
      <c r="B15" s="3"/>
      <c r="C15" s="4"/>
      <c r="D15" s="4"/>
      <c r="E15" s="4"/>
      <c r="F15" s="4"/>
    </row>
    <row r="16" spans="2:6" ht="25" customHeight="1">
      <c r="B16" s="3" t="s">
        <v>24</v>
      </c>
      <c r="C16" s="4" t="s">
        <v>17</v>
      </c>
      <c r="D16" s="6">
        <v>0.35</v>
      </c>
      <c r="E16" s="6"/>
      <c r="F16" s="6"/>
    </row>
    <row r="17" spans="2:6" ht="25" customHeight="1">
      <c r="B17" s="3" t="s">
        <v>25</v>
      </c>
      <c r="C17" s="4" t="s">
        <v>17</v>
      </c>
      <c r="D17" s="6">
        <v>1.2583333333333333</v>
      </c>
      <c r="E17" s="6"/>
      <c r="F17" s="6"/>
    </row>
    <row r="18" spans="2:6" ht="25" customHeight="1">
      <c r="B18" s="3" t="s">
        <v>26</v>
      </c>
      <c r="C18" s="4" t="s">
        <v>17</v>
      </c>
      <c r="D18" s="6">
        <v>0.375</v>
      </c>
      <c r="E18" s="6"/>
      <c r="F18" s="6"/>
    </row>
    <row r="19" spans="2:6" ht="25" customHeight="1">
      <c r="B19" s="3" t="s">
        <v>27</v>
      </c>
      <c r="C19" s="4" t="s">
        <v>17</v>
      </c>
      <c r="D19" s="6">
        <v>0</v>
      </c>
      <c r="E19" s="6"/>
      <c r="F19" s="6"/>
    </row>
    <row r="20" spans="2:6" ht="25" customHeight="1">
      <c r="B20" s="3"/>
      <c r="C20" s="4"/>
      <c r="D20" s="4"/>
      <c r="E20" s="4"/>
      <c r="F20" s="4"/>
    </row>
    <row r="21" spans="2:6" ht="25" customHeight="1">
      <c r="B21" s="3" t="s">
        <v>28</v>
      </c>
      <c r="C21" s="4" t="s">
        <v>29</v>
      </c>
      <c r="D21" s="6">
        <v>0.016886211666666668</v>
      </c>
      <c r="E21" s="6"/>
      <c r="F21" s="6"/>
    </row>
    <row r="22" spans="2:6" ht="25" customHeight="1">
      <c r="B22" s="3" t="s">
        <v>30</v>
      </c>
      <c r="C22" s="4" t="s">
        <v>29</v>
      </c>
      <c r="D22" s="6">
        <v>0.0322860092208239</v>
      </c>
      <c r="E22" s="6"/>
      <c r="F22" s="6"/>
    </row>
    <row r="23" spans="2:6" ht="25" customHeight="1">
      <c r="B23" s="3" t="s">
        <v>31</v>
      </c>
      <c r="C23" s="4" t="s">
        <v>32</v>
      </c>
      <c r="D23" s="6">
        <v>0.008460320234922446</v>
      </c>
      <c r="E23" s="6"/>
      <c r="F23" s="6"/>
    </row>
    <row r="24" spans="2:6" ht="25" customHeight="1">
      <c r="B24" s="3" t="s">
        <v>33</v>
      </c>
      <c r="C24" s="4" t="s">
        <v>32</v>
      </c>
      <c r="D24" s="6">
        <v>0.01617753916276357</v>
      </c>
      <c r="E24" s="6"/>
      <c r="F24" s="6"/>
    </row>
    <row r="25" spans="2:6" ht="25" customHeight="1">
      <c r="B25" s="3" t="s">
        <v>34</v>
      </c>
      <c r="C25" s="4" t="s">
        <v>35</v>
      </c>
      <c r="D25" s="7" t="s">
        <v>36</v>
      </c>
      <c r="E25" s="7"/>
      <c r="F25" s="7"/>
    </row>
    <row r="26" spans="2:6" ht="25" customHeight="1">
      <c r="B26" s="3" t="s">
        <v>37</v>
      </c>
      <c r="C26" s="4" t="s">
        <v>35</v>
      </c>
      <c r="D26" s="7" t="s">
        <v>36</v>
      </c>
      <c r="E26" s="7"/>
      <c r="F26" s="7"/>
    </row>
    <row r="27" spans="2:6" ht="25" customHeight="1">
      <c r="B27" s="3"/>
      <c r="C27" s="4"/>
      <c r="D27" s="4"/>
      <c r="E27" s="4"/>
      <c r="F27" s="4"/>
    </row>
    <row r="28" spans="2:6" ht="25" customHeight="1">
      <c r="B28" s="3" t="s">
        <v>38</v>
      </c>
      <c r="C28" s="4" t="s">
        <v>39</v>
      </c>
      <c r="D28" s="5">
        <v>4975.88720703125</v>
      </c>
      <c r="E28" s="5"/>
      <c r="F28" s="5"/>
    </row>
    <row r="29" spans="2:6" ht="25" customHeight="1">
      <c r="B29" s="3" t="s">
        <v>40</v>
      </c>
      <c r="C29" s="4" t="s">
        <v>41</v>
      </c>
      <c r="D29" s="6" t="str">
        <f>0.001 * D36 * D28</f>
        <v/>
      </c>
      <c r="E29" s="6"/>
      <c r="F29" s="6"/>
    </row>
    <row r="30" spans="2:6" ht="25" customHeight="1">
      <c r="B30" s="3" t="s">
        <v>42</v>
      </c>
      <c r="C30" s="4" t="s">
        <v>39</v>
      </c>
      <c r="D30" s="5">
        <v>5159.07080078125</v>
      </c>
      <c r="E30" s="5"/>
      <c r="F30" s="5"/>
    </row>
    <row r="31" spans="2:6" ht="25" customHeight="1">
      <c r="B31" s="3" t="s">
        <v>43</v>
      </c>
      <c r="C31" s="4" t="s">
        <v>41</v>
      </c>
      <c r="D31" s="6" t="str">
        <f>0.001 * D36 * D30</f>
        <v/>
      </c>
      <c r="E31" s="6"/>
      <c r="F31" s="6"/>
    </row>
    <row r="32" spans="2:6" ht="25" customHeight="1">
      <c r="B32" s="3" t="s">
        <v>44</v>
      </c>
      <c r="C32" s="4" t="s">
        <v>45</v>
      </c>
      <c r="D32" s="6">
        <v>-157.6699981689453</v>
      </c>
      <c r="E32" s="6"/>
      <c r="F32" s="6"/>
    </row>
    <row r="33" spans="2:6" ht="25" customHeight="1">
      <c r="B33" s="3" t="s">
        <v>46</v>
      </c>
      <c r="C33" s="4" t="s">
        <v>45</v>
      </c>
      <c r="D33" s="6">
        <v>-158.4199981689453</v>
      </c>
      <c r="E33" s="6"/>
      <c r="F33" s="6"/>
    </row>
    <row r="34" spans="2:6" ht="25" customHeight="1">
      <c r="B34" s="3" t="s">
        <v>47</v>
      </c>
      <c r="C34" s="4" t="s">
        <v>48</v>
      </c>
      <c r="D34" s="6">
        <v>1148.3311767578125</v>
      </c>
      <c r="E34" s="6"/>
      <c r="F34" s="6"/>
    </row>
    <row r="35" spans="2:6" ht="25" customHeight="1">
      <c r="B35" s="3" t="s">
        <v>49</v>
      </c>
      <c r="C35" s="4" t="s">
        <v>48</v>
      </c>
      <c r="D35" s="6">
        <v>1129.5930786132813</v>
      </c>
      <c r="E35" s="6"/>
      <c r="F35" s="6"/>
    </row>
    <row r="36" spans="2:6" ht="25" customHeight="1">
      <c r="B36" s="3" t="s">
        <v>50</v>
      </c>
      <c r="C36" s="4" t="s">
        <v>51</v>
      </c>
      <c r="D36" s="6">
        <v>447.093</v>
      </c>
      <c r="E36" s="6"/>
      <c r="F36" s="6"/>
    </row>
    <row r="37" spans="2:6" ht="25" customHeight="1">
      <c r="B37" s="3" t="s">
        <v>52</v>
      </c>
      <c r="C37" s="4" t="s">
        <v>51</v>
      </c>
      <c r="D37" s="8">
        <v>0.779</v>
      </c>
      <c r="E37" s="8"/>
      <c r="F37" s="8"/>
    </row>
    <row r="38" spans="2:6" ht="25" customHeight="1">
      <c r="B38" s="3" t="s">
        <v>53</v>
      </c>
      <c r="C38" s="4" t="s">
        <v>54</v>
      </c>
      <c r="D38" s="5">
        <v>45400</v>
      </c>
      <c r="E38" s="5"/>
      <c r="F38" s="5"/>
    </row>
    <row r="39" spans="2:6" ht="25" customHeight="1">
      <c r="B39" s="3"/>
      <c r="C39" s="4"/>
      <c r="D39" s="4"/>
      <c r="E39" s="4"/>
      <c r="F39" s="4"/>
    </row>
    <row r="40" spans="2:6" ht="25" customHeight="1">
      <c r="B40" s="9" t="s">
        <v>55</v>
      </c>
      <c r="C40" s="9"/>
      <c r="D40" s="9"/>
      <c r="E40" s="9"/>
      <c r="F40" s="9"/>
    </row>
    <row r="41" spans="2:6" ht="25" customHeight="1">
      <c r="B41" s="3"/>
      <c r="C41" s="4"/>
      <c r="D41" s="4" t="s">
        <v>56</v>
      </c>
      <c r="E41" s="4" t="s">
        <v>57</v>
      </c>
      <c r="F41" s="4" t="s">
        <v>58</v>
      </c>
    </row>
    <row r="42" spans="2:6" ht="25" customHeight="1">
      <c r="B42" s="3" t="s">
        <v>59</v>
      </c>
      <c r="C42" s="4" t="s">
        <v>60</v>
      </c>
      <c r="D42" s="6">
        <v>0</v>
      </c>
      <c r="E42" s="6" t="str">
        <f>0.5 * (D42 + F42)</f>
        <v/>
      </c>
      <c r="F42" s="6">
        <v>0</v>
      </c>
    </row>
    <row r="43" spans="2:6" ht="25" customHeight="1">
      <c r="B43" s="3" t="s">
        <v>61</v>
      </c>
      <c r="C43" s="4" t="s">
        <v>62</v>
      </c>
      <c r="D43" s="5">
        <v>0</v>
      </c>
      <c r="E43" s="5" t="str">
        <f>D43 + F43</f>
        <v/>
      </c>
      <c r="F43" s="5">
        <v>0</v>
      </c>
    </row>
    <row r="44" spans="2:6" ht="25" customHeight="1">
      <c r="B44" s="3" t="s">
        <v>63</v>
      </c>
      <c r="C44" s="4" t="s">
        <v>62</v>
      </c>
      <c r="D44" s="5">
        <v>0</v>
      </c>
      <c r="E44" s="5" t="str">
        <f>D44 + F44</f>
        <v/>
      </c>
      <c r="F44" s="5">
        <v>0</v>
      </c>
    </row>
    <row r="45" spans="2:6" ht="25" customHeight="1">
      <c r="B45" s="3" t="s">
        <v>64</v>
      </c>
      <c r="C45" s="4" t="s">
        <v>62</v>
      </c>
      <c r="D45" s="5" t="str">
        <f>D43 / D48 + D44 / D49</f>
        <v/>
      </c>
      <c r="E45" s="5" t="str">
        <f>D45 + F45</f>
        <v/>
      </c>
      <c r="F45" s="5" t="str">
        <f>F43 / D48 + F44 / D49</f>
        <v/>
      </c>
    </row>
    <row r="46" spans="2:6" ht="25" customHeight="1">
      <c r="B46" s="3" t="s">
        <v>65</v>
      </c>
      <c r="C46" s="4" t="s">
        <v>41</v>
      </c>
      <c r="D46" s="6" t="str">
        <f> 0.001 * 4.21923828125</f>
        <v/>
      </c>
      <c r="E46" s="6" t="str">
        <f>D46 + F46</f>
        <v/>
      </c>
      <c r="F46" s="6" t="str">
        <f> 0.001 * 4.55859375</f>
        <v/>
      </c>
    </row>
    <row r="47" spans="2:6" ht="25" customHeight="1">
      <c r="B47" s="3" t="s">
        <v>66</v>
      </c>
      <c r="C47" s="4" t="s">
        <v>41</v>
      </c>
      <c r="D47" s="6">
        <v>0</v>
      </c>
      <c r="E47" s="6" t="str">
        <f>D47 + F47</f>
        <v/>
      </c>
      <c r="F47" s="6">
        <v>0</v>
      </c>
    </row>
    <row r="48" spans="2:6" ht="25" customHeight="1">
      <c r="B48" s="3" t="s">
        <v>67</v>
      </c>
      <c r="C48" s="4" t="s">
        <v>35</v>
      </c>
      <c r="D48" s="7">
        <v>0.99</v>
      </c>
      <c r="E48" s="7"/>
      <c r="F48" s="7"/>
    </row>
    <row r="49" spans="2:6" ht="25" customHeight="1">
      <c r="B49" s="3" t="s">
        <v>68</v>
      </c>
      <c r="C49" s="4" t="s">
        <v>35</v>
      </c>
      <c r="D49" s="7">
        <v>0.88859826</v>
      </c>
      <c r="E49" s="7"/>
      <c r="F49" s="7"/>
    </row>
    <row r="50" spans="2:6" ht="25" customHeight="1">
      <c r="B50" s="3"/>
      <c r="C50" s="4"/>
      <c r="D50" s="4"/>
      <c r="E50" s="4"/>
      <c r="F50" s="4"/>
    </row>
    <row r="51" spans="2:6" ht="25" customHeight="1">
      <c r="B51" s="9" t="s">
        <v>69</v>
      </c>
      <c r="C51" s="9"/>
      <c r="D51" s="9"/>
      <c r="E51" s="9"/>
      <c r="F51" s="9"/>
    </row>
    <row r="52" spans="2:6" ht="25" customHeight="1">
      <c r="B52" s="3" t="s">
        <v>70</v>
      </c>
      <c r="C52" s="4" t="s">
        <v>41</v>
      </c>
      <c r="D52" s="6" t="str">
        <f>IF(E45 = 0, 0, E46 * E43 / D48 / E45)</f>
        <v/>
      </c>
      <c r="E52" s="6"/>
      <c r="F52" s="6"/>
    </row>
    <row r="53" spans="2:6" ht="25" customHeight="1">
      <c r="B53" s="3" t="s">
        <v>71</v>
      </c>
      <c r="C53" s="4" t="s">
        <v>41</v>
      </c>
      <c r="D53" s="6" t="str">
        <f>IF(E45 = 0, 0, E47 * E43 / D48 / E45)</f>
        <v/>
      </c>
      <c r="E53" s="6"/>
      <c r="F53" s="6"/>
    </row>
    <row r="54" spans="2:6" ht="25" customHeight="1">
      <c r="B54" s="3" t="s">
        <v>72</v>
      </c>
      <c r="C54" s="4" t="s">
        <v>41</v>
      </c>
      <c r="D54" s="6" t="str">
        <f>D53 * D38 / 50000</f>
        <v/>
      </c>
      <c r="E54" s="6"/>
      <c r="F54" s="6"/>
    </row>
    <row r="55" spans="2:6" ht="25" customHeight="1">
      <c r="B55" s="3" t="s">
        <v>73</v>
      </c>
      <c r="C55" s="4" t="s">
        <v>41</v>
      </c>
      <c r="D55" s="6" t="str">
        <f>(D54 * 50000 / 42600) + D52</f>
        <v/>
      </c>
      <c r="E55" s="6"/>
      <c r="F55" s="6"/>
    </row>
    <row r="56" spans="2:6" ht="25" customHeight="1">
      <c r="B56" s="3"/>
      <c r="C56" s="4"/>
      <c r="D56" s="4"/>
      <c r="E56" s="4"/>
      <c r="F56" s="4"/>
    </row>
    <row r="57" spans="2:6" ht="25" customHeight="1">
      <c r="B57" s="9" t="s">
        <v>74</v>
      </c>
      <c r="C57" s="9"/>
      <c r="D57" s="9"/>
      <c r="E57" s="9"/>
      <c r="F57" s="9"/>
    </row>
    <row r="58" spans="2:6" ht="25" customHeight="1">
      <c r="B58" s="3" t="s">
        <v>75</v>
      </c>
      <c r="C58" s="4" t="s">
        <v>62</v>
      </c>
      <c r="D58" s="5">
        <v>4991.927856191</v>
      </c>
      <c r="E58" s="5"/>
      <c r="F58" s="5"/>
    </row>
    <row r="59" spans="2:6" ht="25" customHeight="1">
      <c r="B59" s="3" t="s">
        <v>76</v>
      </c>
      <c r="C59" s="4" t="s">
        <v>35</v>
      </c>
      <c r="D59" s="7">
        <v>0.963</v>
      </c>
      <c r="E59" s="7"/>
      <c r="F59" s="7"/>
    </row>
    <row r="60" spans="2:6" ht="25" customHeight="1">
      <c r="B60" s="3" t="s">
        <v>77</v>
      </c>
      <c r="C60" s="4" t="s">
        <v>62</v>
      </c>
      <c r="D60" s="5" t="str">
        <f>D58 / D59</f>
        <v/>
      </c>
      <c r="E60" s="5"/>
      <c r="F60" s="5"/>
    </row>
    <row r="61" spans="2:6" ht="25" customHeight="1">
      <c r="B61" s="3" t="s">
        <v>78</v>
      </c>
      <c r="C61" s="4" t="s">
        <v>41</v>
      </c>
      <c r="D61" s="6">
        <v>0.0377044677734375</v>
      </c>
      <c r="E61" s="6"/>
      <c r="F61" s="6"/>
    </row>
    <row r="62" spans="2:6" ht="25" customHeight="1">
      <c r="B62" s="3" t="s">
        <v>79</v>
      </c>
      <c r="C62" s="4" t="s">
        <v>41</v>
      </c>
      <c r="D62" s="6">
        <v>2.0573692321777344</v>
      </c>
      <c r="E62" s="6"/>
      <c r="F62" s="6"/>
    </row>
    <row r="63" spans="2:6" ht="25" customHeight="1">
      <c r="B63" s="3" t="s">
        <v>80</v>
      </c>
      <c r="C63" s="4" t="s">
        <v>41</v>
      </c>
      <c r="D63" s="6" t="str">
        <f>D62 + D61</f>
        <v/>
      </c>
      <c r="E63" s="6"/>
      <c r="F63" s="6"/>
    </row>
    <row r="64" spans="2:6" ht="25" customHeight="1">
      <c r="B64" s="3" t="s">
        <v>81</v>
      </c>
      <c r="C64" s="4" t="s">
        <v>41</v>
      </c>
      <c r="D64" s="6">
        <v>0</v>
      </c>
      <c r="E64" s="6"/>
      <c r="F64" s="6"/>
    </row>
    <row r="65" spans="2:6" ht="25" customHeight="1">
      <c r="B65" s="3" t="s">
        <v>82</v>
      </c>
      <c r="C65" s="4" t="s">
        <v>41</v>
      </c>
      <c r="D65" s="6" t="str">
        <f>IF(E45 = 0, 0, E46 * E44 / D49 / E45)</f>
        <v/>
      </c>
      <c r="E65" s="6"/>
      <c r="F65" s="6"/>
    </row>
    <row r="66" spans="2:6" ht="25" customHeight="1">
      <c r="B66" s="3" t="s">
        <v>83</v>
      </c>
      <c r="C66" s="4" t="s">
        <v>41</v>
      </c>
      <c r="D66" s="6" t="str">
        <f>IF(E45 = 0, 0, E47 * E44 / D49 / E45)</f>
        <v/>
      </c>
      <c r="E66" s="6"/>
      <c r="F66" s="6"/>
    </row>
    <row r="67" spans="2:6" ht="25" customHeight="1">
      <c r="B67" s="3" t="s">
        <v>84</v>
      </c>
      <c r="C67" s="4" t="s">
        <v>41</v>
      </c>
      <c r="D67" s="6" t="str">
        <f>D65 + D63</f>
        <v/>
      </c>
      <c r="E67" s="6"/>
      <c r="F67" s="6"/>
    </row>
    <row r="68" spans="2:6" ht="25" customHeight="1">
      <c r="B68" s="3" t="s">
        <v>85</v>
      </c>
      <c r="C68" s="4" t="s">
        <v>41</v>
      </c>
      <c r="D68" s="6" t="str">
        <f>D66 + D64</f>
        <v/>
      </c>
      <c r="E68" s="6"/>
      <c r="F68" s="6"/>
    </row>
    <row r="69" spans="2:6" ht="25" customHeight="1">
      <c r="B69" s="3" t="s">
        <v>86</v>
      </c>
      <c r="C69" s="4" t="s">
        <v>41</v>
      </c>
      <c r="D69" s="6" t="str">
        <f>(D68 * D38 / 50000 )</f>
        <v/>
      </c>
      <c r="E69" s="6"/>
      <c r="F69" s="6"/>
    </row>
    <row r="70" spans="2:6" ht="25" customHeight="1">
      <c r="B70" s="3" t="s">
        <v>87</v>
      </c>
      <c r="C70" s="4" t="s">
        <v>41</v>
      </c>
      <c r="D70" s="6" t="str">
        <f>(D69 * 50000 / 42600) + D67</f>
        <v/>
      </c>
      <c r="E70" s="6"/>
      <c r="F70" s="6"/>
    </row>
    <row r="71" spans="2:6" ht="25" customHeight="1">
      <c r="B71" s="3"/>
      <c r="C71" s="4"/>
      <c r="D71" s="4"/>
      <c r="E71" s="4"/>
      <c r="F71" s="4"/>
    </row>
    <row r="72" spans="2:6" ht="25" customHeight="1">
      <c r="B72" s="9" t="s">
        <v>88</v>
      </c>
      <c r="C72" s="9"/>
      <c r="D72" s="9"/>
      <c r="E72" s="9"/>
      <c r="F72" s="9"/>
    </row>
    <row r="73" spans="2:6" ht="25" customHeight="1">
      <c r="B73" s="3" t="s">
        <v>89</v>
      </c>
      <c r="C73" s="4" t="s">
        <v>41</v>
      </c>
      <c r="D73" s="6">
        <v>0.40847206115722656</v>
      </c>
      <c r="E73" s="6"/>
      <c r="F73" s="6"/>
    </row>
    <row r="74" spans="2:6" ht="25" customHeight="1">
      <c r="B74" s="3"/>
      <c r="C74" s="4"/>
      <c r="D74" s="4"/>
      <c r="E74" s="4"/>
      <c r="F74" s="4"/>
    </row>
    <row r="75" spans="2:6" ht="25" customHeight="1">
      <c r="B75" s="9" t="s">
        <v>90</v>
      </c>
      <c r="C75" s="9"/>
      <c r="D75" s="9"/>
      <c r="E75" s="9"/>
      <c r="F75" s="9"/>
    </row>
    <row r="76" spans="2:6" ht="25" customHeight="1">
      <c r="B76" s="3" t="s">
        <v>91</v>
      </c>
      <c r="C76" s="4" t="s">
        <v>41</v>
      </c>
      <c r="D76" s="6">
        <v>0</v>
      </c>
      <c r="E76" s="6"/>
      <c r="F76" s="6"/>
    </row>
    <row r="77" spans="2:6" ht="25" customHeight="1">
      <c r="B77" s="3" t="s">
        <v>92</v>
      </c>
      <c r="C77" s="4" t="s">
        <v>41</v>
      </c>
      <c r="D77" s="6">
        <v>0.8481941223144531</v>
      </c>
      <c r="E77" s="6"/>
      <c r="F77" s="6"/>
    </row>
    <row r="78" spans="2:6" ht="25" customHeight="1">
      <c r="B78" s="3" t="s">
        <v>93</v>
      </c>
      <c r="C78" s="4" t="s">
        <v>41</v>
      </c>
      <c r="D78" s="6">
        <v>3.3876192569732666</v>
      </c>
      <c r="E78" s="6"/>
      <c r="F78" s="6"/>
    </row>
    <row r="79" spans="2:6" ht="25" customHeight="1">
      <c r="B79" s="3" t="s">
        <v>94</v>
      </c>
      <c r="C79" s="4" t="s">
        <v>41</v>
      </c>
      <c r="D79" s="6">
        <v>0</v>
      </c>
      <c r="E79" s="6"/>
      <c r="F79" s="6"/>
    </row>
    <row r="80" spans="2:6" ht="25" customHeight="1">
      <c r="B80" s="3"/>
      <c r="C80" s="4"/>
      <c r="D80" s="4"/>
      <c r="E80" s="4"/>
      <c r="F80" s="4"/>
    </row>
    <row r="81" spans="2:6" ht="25" customHeight="1">
      <c r="B81" s="9" t="s">
        <v>95</v>
      </c>
      <c r="C81" s="9"/>
      <c r="D81" s="9"/>
      <c r="E81" s="9"/>
      <c r="F81" s="9"/>
    </row>
    <row r="82" spans="2:6" ht="25" customHeight="1">
      <c r="B82" s="3" t="s">
        <v>96</v>
      </c>
      <c r="C82" s="4" t="s">
        <v>41</v>
      </c>
      <c r="D82" s="6" t="str">
        <f>D53 + D68 + D76 + D77 + D78 + D79</f>
        <v/>
      </c>
      <c r="E82" s="6"/>
      <c r="F82" s="6"/>
    </row>
    <row r="83" spans="2:6" ht="25" customHeight="1">
      <c r="B83" s="3" t="s">
        <v>97</v>
      </c>
      <c r="C83" s="4" t="s">
        <v>41</v>
      </c>
      <c r="D83" s="6" t="str">
        <f>3.483 * D31 * (D32 - D33) / 510</f>
        <v/>
      </c>
      <c r="E83" s="6"/>
      <c r="F83" s="6"/>
    </row>
    <row r="84" spans="2:6" ht="25" customHeight="1">
      <c r="B84" s="3" t="s">
        <v>98</v>
      </c>
      <c r="C84" s="4" t="s">
        <v>99</v>
      </c>
      <c r="D84" s="6" t="str">
        <f>D82 / D11</f>
        <v/>
      </c>
      <c r="E84" s="6"/>
      <c r="F84" s="6"/>
    </row>
    <row r="85" spans="2:6" ht="25" customHeight="1">
      <c r="B85" s="3" t="s">
        <v>100</v>
      </c>
      <c r="C85" s="4" t="s">
        <v>101</v>
      </c>
      <c r="D85" s="5" t="str">
        <f>1000 * D84 / D37</f>
        <v/>
      </c>
      <c r="E85" s="5"/>
      <c r="F85" s="5"/>
    </row>
    <row r="86" spans="2:6" ht="25" customHeight="1">
      <c r="B86" s="3" t="s">
        <v>102</v>
      </c>
      <c r="C86" s="4" t="s">
        <v>35</v>
      </c>
      <c r="D86" s="7" t="str">
        <f>D85 / (D4 * 0.985)</f>
        <v/>
      </c>
      <c r="E86" s="7"/>
      <c r="F86" s="7"/>
    </row>
    <row r="87" spans="2:6" ht="25" customHeight="1">
      <c r="B87" s="3"/>
      <c r="C87" s="4"/>
      <c r="D87" s="4"/>
      <c r="E87" s="4"/>
      <c r="F87" s="4"/>
    </row>
    <row r="88" spans="2:6" ht="25" customHeight="1">
      <c r="B88" s="9" t="s">
        <v>103</v>
      </c>
      <c r="C88" s="9"/>
      <c r="D88" s="9"/>
      <c r="E88" s="9"/>
      <c r="F88" s="9"/>
    </row>
    <row r="89" spans="2:6" ht="25" customHeight="1">
      <c r="B89" s="3" t="s">
        <v>104</v>
      </c>
      <c r="C89" s="4" t="s">
        <v>62</v>
      </c>
      <c r="D89" s="5" t="str">
        <f> E43</f>
        <v/>
      </c>
      <c r="E89" s="5"/>
      <c r="F89" s="5"/>
    </row>
    <row r="90" spans="2:6" ht="25" customHeight="1">
      <c r="B90" s="3" t="s">
        <v>105</v>
      </c>
      <c r="C90" s="4" t="s">
        <v>106</v>
      </c>
      <c r="D90" s="6" t="str">
        <f>IF(E43 = 0, 0, 1000 * 1000 * D55 / D10 / E43)</f>
        <v/>
      </c>
      <c r="E90" s="6"/>
      <c r="F90" s="6"/>
    </row>
    <row r="91" spans="2:6" ht="25" customHeight="1">
      <c r="B91" s="3" t="s">
        <v>107</v>
      </c>
      <c r="C91" s="4" t="s">
        <v>62</v>
      </c>
      <c r="D91" s="5" t="str">
        <f>E44 + D58</f>
        <v/>
      </c>
      <c r="E91" s="5"/>
      <c r="F91" s="5"/>
    </row>
    <row r="92" spans="2:6" ht="25" customHeight="1">
      <c r="B92" s="3" t="s">
        <v>108</v>
      </c>
      <c r="C92" s="4" t="s">
        <v>106</v>
      </c>
      <c r="D92" s="6" t="str">
        <f>IF(D58 + E44 = 0, 0, 1000 * 1000 * D70 / D10 / (D58 + E44))</f>
        <v/>
      </c>
      <c r="E92" s="6"/>
      <c r="F92" s="6"/>
    </row>
    <row r="93" spans="2:6" ht="25" customHeight="1">
      <c r="B93" s="3"/>
      <c r="C93" s="4"/>
      <c r="D93" s="4"/>
      <c r="E93" s="4"/>
      <c r="F93" s="4"/>
    </row>
    <row r="94" spans="2:6" ht="25" customHeight="1">
      <c r="B94" s="9" t="s">
        <v>109</v>
      </c>
      <c r="C94" s="9"/>
      <c r="D94" s="9"/>
      <c r="E94" s="9"/>
      <c r="F94" s="9"/>
    </row>
    <row r="95" spans="2:6" ht="25" customHeight="1">
      <c r="B95" s="3" t="s">
        <v>110</v>
      </c>
      <c r="C95" s="4" t="s">
        <v>41</v>
      </c>
      <c r="D95" s="6" t="str">
        <f> 3.206 * D52 + 2.75 * D53</f>
        <v/>
      </c>
      <c r="E95" s="6"/>
      <c r="F95" s="6"/>
    </row>
    <row r="96" spans="2:6" ht="25" customHeight="1">
      <c r="B96" s="3" t="s">
        <v>111</v>
      </c>
      <c r="C96" s="4" t="s">
        <v>41</v>
      </c>
      <c r="D96" s="6" t="s">
        <v>112</v>
      </c>
      <c r="E96" s="6"/>
      <c r="F96" s="6"/>
    </row>
    <row r="97" spans="2:6" ht="25" customHeight="1">
      <c r="B97" s="3" t="s">
        <v>113</v>
      </c>
      <c r="C97" s="4" t="s">
        <v>41</v>
      </c>
      <c r="D97" s="6" t="s">
        <v>112</v>
      </c>
      <c r="E97" s="6"/>
      <c r="F97" s="6"/>
    </row>
    <row r="98" spans="2:6" ht="25" customHeight="1">
      <c r="B98" s="3" t="s">
        <v>114</v>
      </c>
      <c r="C98" s="4" t="s">
        <v>41</v>
      </c>
      <c r="D98" s="6" t="str">
        <f> 3.206 * D67 + 2.75 * D68</f>
        <v/>
      </c>
      <c r="E98" s="6"/>
      <c r="F98" s="6"/>
    </row>
    <row r="99" spans="2:6" ht="25" customHeight="1">
      <c r="B99" s="3" t="s">
        <v>115</v>
      </c>
      <c r="C99" s="4" t="s">
        <v>41</v>
      </c>
      <c r="D99" s="6" t="s">
        <v>112</v>
      </c>
      <c r="E99" s="6"/>
      <c r="F99" s="6"/>
    </row>
    <row r="100" spans="2:6" ht="25" customHeight="1">
      <c r="B100" s="3" t="s">
        <v>116</v>
      </c>
      <c r="C100" s="4" t="s">
        <v>41</v>
      </c>
      <c r="D100" s="6" t="s">
        <v>112</v>
      </c>
      <c r="E100" s="6"/>
      <c r="F100" s="6"/>
    </row>
    <row r="101" spans="2:6" ht="25" customHeight="1">
      <c r="B101" s="3" t="s">
        <v>117</v>
      </c>
      <c r="C101" s="4" t="s">
        <v>41</v>
      </c>
      <c r="D101" s="6" t="str">
        <f> 3.206 * D73</f>
        <v/>
      </c>
      <c r="E101" s="6"/>
      <c r="F101" s="6"/>
    </row>
    <row r="102" spans="2:6" ht="25" customHeight="1">
      <c r="B102" s="3" t="s">
        <v>118</v>
      </c>
      <c r="C102" s="4" t="s">
        <v>41</v>
      </c>
      <c r="D102" s="6" t="str">
        <f> 2.75 * D76</f>
        <v/>
      </c>
      <c r="E102" s="6"/>
      <c r="F102" s="6"/>
    </row>
    <row r="103" spans="2:6" ht="25" customHeight="1">
      <c r="B103" s="3" t="s">
        <v>119</v>
      </c>
      <c r="C103" s="4" t="s">
        <v>41</v>
      </c>
      <c r="D103" s="6" t="str">
        <f> D77</f>
        <v/>
      </c>
      <c r="E103" s="6"/>
      <c r="F103" s="6"/>
    </row>
    <row r="104" spans="2:6" ht="25" customHeight="1"/>
    <row r="105" spans="2:6" ht="25" customHeight="1"/>
    <row r="106" spans="2:6" ht="25" customHeight="1"/>
    <row r="107" spans="2:6" ht="25" customHeight="1"/>
    <row r="108" spans="2:6" ht="25" customHeight="1"/>
    <row r="109" spans="2:6" ht="25" customHeight="1"/>
    <row r="110" spans="2:6" ht="25" customHeight="1"/>
    <row r="111" spans="2:6" ht="25" customHeight="1"/>
    <row r="112" spans="2:6" ht="25" customHeight="1">
      <c r="F112" s="1" t="s">
        <v>120</v>
      </c>
    </row>
    <row r="113" ht="25" customHeight="1"/>
    <row r="114" ht="25" customHeight="1"/>
    <row r="115" ht="25" customHeight="1"/>
    <row r="116" ht="25" customHeight="1"/>
    <row r="117" ht="25" customHeight="1"/>
    <row r="118" ht="25" customHeight="1"/>
    <row r="119" ht="25" customHeight="1"/>
    <row r="120" ht="25" customHeight="1"/>
    <row r="121" ht="25" customHeight="1"/>
    <row r="122" ht="25" customHeight="1"/>
    <row r="123" ht="25" customHeight="1"/>
    <row r="124" ht="25" customHeight="1"/>
    <row r="125" ht="25" customHeight="1"/>
    <row r="126" ht="25" customHeight="1"/>
    <row r="127" ht="25" customHeight="1"/>
    <row r="128" ht="25" customHeight="1"/>
    <row r="129" ht="25" customHeight="1"/>
    <row r="130" ht="25" customHeight="1"/>
    <row r="131" ht="25" customHeight="1"/>
    <row r="132" ht="25" customHeight="1"/>
    <row r="133" ht="25" customHeight="1"/>
    <row r="134" ht="25" customHeight="1"/>
    <row r="135" ht="25" customHeight="1"/>
    <row r="136" ht="25" customHeight="1"/>
    <row r="137" ht="25" customHeight="1"/>
    <row r="138" ht="25" customHeight="1"/>
    <row r="139" ht="25" customHeight="1"/>
    <row r="140" ht="25" customHeight="1"/>
    <row r="141" ht="25" customHeight="1"/>
    <row r="142" ht="25" customHeight="1"/>
    <row r="143" ht="25" customHeight="1"/>
    <row r="144" ht="25" customHeight="1"/>
    <row r="145" ht="25" customHeight="1"/>
    <row r="146" ht="25" customHeight="1"/>
    <row r="147" ht="25" customHeight="1"/>
    <row r="148" ht="25" customHeight="1"/>
    <row r="149" ht="25" customHeight="1"/>
    <row r="150" ht="25" customHeight="1"/>
    <row r="151" ht="25" customHeight="1"/>
    <row r="152" ht="25" customHeight="1"/>
    <row r="153" ht="25" customHeight="1"/>
    <row r="154" ht="25" customHeight="1"/>
    <row r="155" ht="25" customHeight="1"/>
    <row r="156" ht="25" customHeight="1"/>
    <row r="157" ht="25" customHeight="1"/>
    <row r="158" ht="25" customHeight="1"/>
    <row r="159" ht="25" customHeight="1"/>
    <row r="160" ht="25" customHeight="1"/>
    <row r="161" ht="25" customHeight="1"/>
    <row r="162" ht="25" customHeight="1"/>
    <row r="163" ht="25" customHeight="1"/>
    <row r="164" ht="25" customHeight="1"/>
    <row r="165" ht="25" customHeight="1"/>
    <row r="166" ht="25" customHeight="1"/>
    <row r="167" ht="25" customHeight="1"/>
    <row r="168" ht="25" customHeight="1"/>
    <row r="169" ht="25" customHeight="1"/>
    <row r="170" ht="25" customHeight="1"/>
    <row r="171" ht="25" customHeight="1"/>
    <row r="172" ht="25" customHeight="1"/>
    <row r="173" ht="25" customHeight="1"/>
    <row r="174" ht="25" customHeight="1"/>
    <row r="175" ht="25" customHeight="1"/>
    <row r="176" ht="25" customHeight="1"/>
    <row r="177" ht="25" customHeight="1"/>
    <row r="178" ht="25" customHeight="1"/>
    <row r="179" ht="25" customHeight="1"/>
    <row r="180" ht="25" customHeight="1"/>
    <row r="181" ht="25" customHeight="1"/>
    <row r="182" ht="25" customHeight="1"/>
    <row r="183" ht="25" customHeight="1"/>
    <row r="184" ht="25" customHeight="1"/>
    <row r="185" ht="25" customHeight="1"/>
    <row r="186" ht="25" customHeight="1"/>
    <row r="187" ht="25" customHeight="1"/>
    <row r="188" ht="25" customHeight="1"/>
    <row r="189" ht="25" customHeight="1"/>
    <row r="190" ht="25" customHeight="1"/>
    <row r="191" ht="25" customHeight="1"/>
    <row r="192" ht="25" customHeight="1"/>
    <row r="193" ht="25" customHeight="1"/>
    <row r="194" ht="25" customHeight="1"/>
    <row r="195" ht="25" customHeight="1"/>
    <row r="196" ht="25" customHeight="1"/>
    <row r="197" ht="25" customHeight="1"/>
    <row r="198" ht="25" customHeight="1"/>
    <row r="199" ht="25" customHeight="1"/>
    <row r="200" ht="25" customHeight="1"/>
  </sheetData>
  <mergeCells count="96">
    <mergeCell ref="B1:F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B40:F40"/>
    <mergeCell ref="D48:F48"/>
    <mergeCell ref="D49:F49"/>
    <mergeCell ref="D50:F50"/>
    <mergeCell ref="B51:F51"/>
    <mergeCell ref="D52:F52"/>
    <mergeCell ref="D53:F53"/>
    <mergeCell ref="D54:F54"/>
    <mergeCell ref="D55:F55"/>
    <mergeCell ref="D56:F56"/>
    <mergeCell ref="B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B72:F72"/>
    <mergeCell ref="D73:F73"/>
    <mergeCell ref="D74:F74"/>
    <mergeCell ref="B75:F75"/>
    <mergeCell ref="D76:F76"/>
    <mergeCell ref="D77:F77"/>
    <mergeCell ref="D78:F78"/>
    <mergeCell ref="D79:F79"/>
    <mergeCell ref="D80:F80"/>
    <mergeCell ref="B81:F81"/>
    <mergeCell ref="D82:F82"/>
    <mergeCell ref="D83:F83"/>
    <mergeCell ref="D84:F84"/>
    <mergeCell ref="D85:F85"/>
    <mergeCell ref="D86:F86"/>
    <mergeCell ref="D87:F87"/>
    <mergeCell ref="B88:F88"/>
    <mergeCell ref="D89:F89"/>
    <mergeCell ref="D90:F90"/>
    <mergeCell ref="D91:F91"/>
    <mergeCell ref="D92:F92"/>
    <mergeCell ref="D93:F93"/>
    <mergeCell ref="B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</mergeCells>
  <printOptions horizontalCentered="1"/>
  <pageMargins left="0.2" right="0.2" top="0.8" bottom="0.8" header="0.5" footer="0.5"/>
  <pageSetup paperSize="9" fitToHeight="2" orientation="portrait" horizontalDpi="200" verticalDpi="200"/>
  <headerFooter>
    <oddFooter>Page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2025-10-28T03:59:19Z</dcterms:created>
  <dcterms:modified xsi:type="dcterms:W3CDTF">2025-10-28T03:59:19Z</dcterms:modified>
</cp:coreProperties>
</file>